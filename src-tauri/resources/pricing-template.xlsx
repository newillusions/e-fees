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F:\emittiv\emittiv\01 Projects\01 RFPs\_yy-cccnn Project Name\02 Proposal\"/>
    </mc:Choice>
  </mc:AlternateContent>
  <xr:revisionPtr revIDLastSave="0" documentId="13_ncr:1_{8E6EE67A-FE00-413E-9CA5-D4D10915CEDA}" xr6:coauthVersionLast="47" xr6:coauthVersionMax="47" xr10:uidLastSave="{00000000-0000-0000-0000-000000000000}"/>
  <bookViews>
    <workbookView xWindow="38290" yWindow="-110" windowWidth="38620" windowHeight="21100" xr2:uid="{590FDCE8-71E6-405F-B278-6532DE6B2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3" i="1"/>
  <c r="E24" i="1" s="1"/>
  <c r="E22" i="1"/>
  <c r="E21" i="1"/>
  <c r="E20" i="1"/>
  <c r="E19" i="1"/>
  <c r="E26" i="1" l="1"/>
  <c r="D3" i="1" l="1"/>
  <c r="E3" i="1"/>
  <c r="F3" i="1"/>
  <c r="H3" i="1"/>
  <c r="C3" i="1"/>
  <c r="I2" i="1"/>
  <c r="P2" i="1"/>
  <c r="D13" i="1" l="1"/>
  <c r="D6" i="1" s="1"/>
  <c r="L6" i="1"/>
  <c r="I3" i="1"/>
  <c r="H13" i="1"/>
  <c r="H6" i="1" s="1"/>
  <c r="F13" i="1"/>
  <c r="F6" i="1" s="1"/>
  <c r="E13" i="1"/>
  <c r="E6" i="1" s="1"/>
  <c r="C13" i="1"/>
  <c r="C6" i="1" s="1"/>
  <c r="I12" i="1"/>
  <c r="I11" i="1"/>
  <c r="I10" i="1"/>
  <c r="I9" i="1"/>
  <c r="R13" i="1"/>
  <c r="M13" i="1"/>
  <c r="L13" i="1" l="1"/>
  <c r="L9" i="1"/>
  <c r="L10" i="1"/>
  <c r="L11" i="1"/>
  <c r="L12" i="1"/>
  <c r="I13" i="1"/>
  <c r="I6" i="1" l="1"/>
  <c r="P8" i="1"/>
  <c r="I14" i="1"/>
  <c r="I15" i="1" s="1"/>
  <c r="P12" i="1" l="1"/>
  <c r="P10" i="1"/>
  <c r="P11" i="1"/>
  <c r="P9" i="1"/>
  <c r="P13" i="1" l="1"/>
</calcChain>
</file>

<file path=xl/sharedStrings.xml><?xml version="1.0" encoding="utf-8"?>
<sst xmlns="http://schemas.openxmlformats.org/spreadsheetml/2006/main" count="38" uniqueCount="32">
  <si>
    <t>Sub</t>
  </si>
  <si>
    <t>VAT</t>
  </si>
  <si>
    <t>Grand</t>
  </si>
  <si>
    <t>Remaining</t>
  </si>
  <si>
    <t>Mobilisation</t>
  </si>
  <si>
    <t>Stages</t>
  </si>
  <si>
    <t>%</t>
  </si>
  <si>
    <t>Target Price</t>
  </si>
  <si>
    <t>Costs</t>
  </si>
  <si>
    <t>Lighting</t>
  </si>
  <si>
    <t>Audio</t>
  </si>
  <si>
    <t>SFX</t>
  </si>
  <si>
    <t>Show Control</t>
  </si>
  <si>
    <t>Total</t>
  </si>
  <si>
    <t>DD</t>
  </si>
  <si>
    <t>SD</t>
  </si>
  <si>
    <t>Video</t>
  </si>
  <si>
    <t>Project Target</t>
  </si>
  <si>
    <t>TD</t>
  </si>
  <si>
    <t>CD</t>
  </si>
  <si>
    <t>Rec Fee</t>
  </si>
  <si>
    <t>Post Contract</t>
  </si>
  <si>
    <t>qty</t>
  </si>
  <si>
    <t>price</t>
  </si>
  <si>
    <t>est</t>
  </si>
  <si>
    <t>Submittal Review</t>
  </si>
  <si>
    <t>Construction Supervision</t>
  </si>
  <si>
    <t>Programming</t>
  </si>
  <si>
    <t>DLP</t>
  </si>
  <si>
    <t>Handover</t>
  </si>
  <si>
    <t>Notes</t>
  </si>
  <si>
    <t>Design 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</si>
</sst>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Montserrat"/>
      <family val="2"/>
      <scheme val="minor"/>
    </font>
    <font>
      <sz val="10"/>
      <color theme="1"/>
      <name val="Montserrat"/>
      <family val="2"/>
      <scheme val="minor"/>
    </font>
    <font>
      <sz val="10"/>
      <color theme="1"/>
      <name val="Montserrat"/>
      <family val="2"/>
      <scheme val="minor"/>
    </font>
    <font>
      <sz val="11"/>
      <color theme="1"/>
      <name val="Montserrat"/>
      <family val="2"/>
      <scheme val="minor"/>
    </font>
    <font>
      <b/>
      <sz val="11"/>
      <color theme="1"/>
      <name val="Montserrat"/>
      <family val="2"/>
      <scheme val="minor"/>
    </font>
    <font>
      <b/>
      <sz val="10"/>
      <color theme="1"/>
      <name val="Montserrat"/>
      <scheme val="minor"/>
    </font>
    <font>
      <b/>
      <sz val="11"/>
      <color theme="1"/>
      <name val="Montserrat"/>
    </font>
    <font>
      <sz val="11"/>
      <color theme="1"/>
      <name val="Montserrat"/>
    </font>
    <font>
      <b/>
      <sz val="11"/>
      <color theme="1"/>
      <name val="Montserrat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6">
    <xf numFmtId="0" fontId="0" fillId="0" borderId="0" xfId="0"/>
    <xf numFmtId="164" fontId="0" fillId="0" borderId="0" xfId="1" applyNumberFormat="1" applyFont="1"/>
    <xf numFmtId="9" fontId="0" fillId="0" borderId="0" xfId="2" applyFont="1"/>
    <xf numFmtId="164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/>
    <xf numFmtId="164" fontId="4" fillId="0" borderId="0" xfId="1" applyNumberFormat="1" applyFont="1"/>
    <xf numFmtId="164" fontId="4" fillId="0" borderId="0" xfId="0" applyNumberFormat="1" applyFont="1"/>
    <xf numFmtId="9" fontId="4" fillId="0" borderId="0" xfId="2" applyFont="1"/>
    <xf numFmtId="9" fontId="0" fillId="0" borderId="0" xfId="0" applyNumberFormat="1"/>
    <xf numFmtId="164" fontId="2" fillId="3" borderId="0" xfId="4" applyNumberFormat="1" applyAlignment="1">
      <alignment horizontal="left"/>
    </xf>
    <xf numFmtId="164" fontId="5" fillId="3" borderId="0" xfId="4" applyNumberFormat="1" applyFont="1"/>
    <xf numFmtId="9" fontId="2" fillId="2" borderId="1" xfId="3" applyNumberFormat="1" applyBorder="1"/>
    <xf numFmtId="164" fontId="2" fillId="2" borderId="1" xfId="3" applyNumberFormat="1" applyBorder="1"/>
    <xf numFmtId="0" fontId="2" fillId="2" borderId="1" xfId="3" applyBorder="1"/>
    <xf numFmtId="164" fontId="2" fillId="2" borderId="2" xfId="3" applyNumberFormat="1" applyBorder="1"/>
    <xf numFmtId="0" fontId="6" fillId="0" borderId="0" xfId="0" applyFont="1"/>
    <xf numFmtId="0" fontId="7" fillId="0" borderId="0" xfId="0" applyFont="1"/>
    <xf numFmtId="164" fontId="7" fillId="0" borderId="0" xfId="1" applyNumberFormat="1" applyFont="1"/>
    <xf numFmtId="164" fontId="6" fillId="0" borderId="0" xfId="1" applyNumberFormat="1" applyFont="1"/>
    <xf numFmtId="164" fontId="7" fillId="0" borderId="0" xfId="0" applyNumberFormat="1" applyFont="1"/>
    <xf numFmtId="164" fontId="6" fillId="0" borderId="0" xfId="0" applyNumberFormat="1" applyFont="1"/>
    <xf numFmtId="164" fontId="2" fillId="2" borderId="1" xfId="1" applyNumberFormat="1" applyFont="1" applyFill="1" applyBorder="1"/>
    <xf numFmtId="164" fontId="7" fillId="0" borderId="1" xfId="1" applyNumberFormat="1" applyFont="1" applyBorder="1"/>
    <xf numFmtId="0" fontId="1" fillId="2" borderId="1" xfId="3" applyFont="1" applyBorder="1"/>
    <xf numFmtId="0" fontId="8" fillId="0" borderId="0" xfId="0" applyFont="1"/>
  </cellXfs>
  <cellStyles count="5">
    <cellStyle name="20% - Accent1" xfId="3" builtinId="30"/>
    <cellStyle name="60% - Accent1" xfId="4" builtinId="32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mittiv">
  <a:themeElements>
    <a:clrScheme name="emittiv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F9900"/>
      </a:accent1>
      <a:accent2>
        <a:srgbClr val="7030A0"/>
      </a:accent2>
      <a:accent3>
        <a:srgbClr val="3A3838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emittiv">
      <a:majorFont>
        <a:latin typeface="Ubuntu"/>
        <a:ea typeface=""/>
        <a:cs typeface=""/>
      </a:majorFont>
      <a:minorFont>
        <a:latin typeface="Montserra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9611-F8D6-475E-B573-04EEB8E35D21}">
  <dimension ref="A1:U26"/>
  <sheetViews>
    <sheetView tabSelected="1" zoomScale="110" zoomScaleNormal="110" workbookViewId="0">
      <selection activeCell="I14" sqref="I14"/>
    </sheetView>
  </sheetViews>
  <sheetFormatPr defaultRowHeight="16.5" x14ac:dyDescent="0.45"/>
  <cols>
    <col min="1" max="1" width="3.3984375" customWidth="1"/>
    <col min="2" max="2" width="20.53125" bestFit="1" customWidth="1"/>
    <col min="3" max="8" width="10.6640625" customWidth="1"/>
    <col min="9" max="11" width="11.265625" style="1" customWidth="1"/>
    <col min="12" max="12" width="10.3984375" customWidth="1"/>
    <col min="15" max="15" width="11.73046875" customWidth="1"/>
    <col min="16" max="16" width="11.265625" style="1" customWidth="1"/>
    <col min="20" max="20" width="11.265625" customWidth="1"/>
  </cols>
  <sheetData>
    <row r="1" spans="1:21" ht="17" thickBot="1" x14ac:dyDescent="0.5">
      <c r="B1" s="11" t="s">
        <v>17</v>
      </c>
      <c r="C1" s="10" t="s">
        <v>9</v>
      </c>
      <c r="D1" s="10" t="s">
        <v>16</v>
      </c>
      <c r="E1" s="10" t="s">
        <v>10</v>
      </c>
      <c r="F1" s="10" t="s">
        <v>11</v>
      </c>
      <c r="G1" s="10" t="s">
        <v>12</v>
      </c>
      <c r="H1" s="10" t="s">
        <v>0</v>
      </c>
      <c r="I1" s="10" t="s">
        <v>13</v>
      </c>
    </row>
    <row r="2" spans="1:21" ht="17" thickBot="1" x14ac:dyDescent="0.5">
      <c r="B2" s="15"/>
      <c r="C2" s="12">
        <v>0.35</v>
      </c>
      <c r="D2" s="12">
        <v>0.25</v>
      </c>
      <c r="E2" s="12">
        <v>0.25</v>
      </c>
      <c r="F2" s="12">
        <v>0.05</v>
      </c>
      <c r="G2" s="12">
        <v>0.1</v>
      </c>
      <c r="H2" s="12">
        <v>0</v>
      </c>
      <c r="I2" s="8">
        <f>SUM(C2:H2)</f>
        <v>1</v>
      </c>
      <c r="O2" t="s">
        <v>5</v>
      </c>
      <c r="P2" s="1">
        <f>COUNT(A:A)</f>
        <v>4</v>
      </c>
      <c r="Q2" s="1"/>
      <c r="S2" s="2"/>
      <c r="T2" s="3"/>
    </row>
    <row r="3" spans="1:21" x14ac:dyDescent="0.45">
      <c r="B3" t="s">
        <v>7</v>
      </c>
      <c r="C3" s="1">
        <f>$B$2*C2</f>
        <v>0</v>
      </c>
      <c r="D3" s="1">
        <f>$B$2*D2</f>
        <v>0</v>
      </c>
      <c r="E3" s="1">
        <f>$B$2*E2</f>
        <v>0</v>
      </c>
      <c r="F3" s="1">
        <f>$B$2*F2</f>
        <v>0</v>
      </c>
      <c r="G3" s="1"/>
      <c r="H3" s="1">
        <f>$B$2*H2</f>
        <v>0</v>
      </c>
      <c r="I3" s="6">
        <f>SUM(C3:H3)</f>
        <v>0</v>
      </c>
      <c r="O3" t="s">
        <v>1</v>
      </c>
      <c r="P3" s="2">
        <v>0.05</v>
      </c>
      <c r="S3" s="9"/>
      <c r="T3" s="3"/>
      <c r="U3" s="3"/>
    </row>
    <row r="4" spans="1:21" x14ac:dyDescent="0.45">
      <c r="C4" s="1"/>
      <c r="D4" s="1"/>
      <c r="E4" s="1"/>
      <c r="F4" s="1"/>
      <c r="G4" s="1"/>
      <c r="H4" s="1"/>
      <c r="O4" t="s">
        <v>4</v>
      </c>
      <c r="P4" s="12">
        <v>0.3</v>
      </c>
      <c r="S4" s="9"/>
      <c r="T4" s="1"/>
      <c r="U4" s="3"/>
    </row>
    <row r="5" spans="1:21" x14ac:dyDescent="0.45">
      <c r="C5" s="1"/>
      <c r="D5" s="1"/>
      <c r="E5" s="1"/>
      <c r="F5" s="1"/>
      <c r="G5" s="1"/>
      <c r="H5" s="1"/>
      <c r="P5" s="2"/>
      <c r="S5" s="9"/>
      <c r="T5" s="3"/>
      <c r="U5" s="3"/>
    </row>
    <row r="6" spans="1:21" x14ac:dyDescent="0.45">
      <c r="B6" t="s">
        <v>3</v>
      </c>
      <c r="C6" s="1">
        <f t="shared" ref="C6:I6" si="0">C3-C13</f>
        <v>0</v>
      </c>
      <c r="D6" s="1">
        <f t="shared" si="0"/>
        <v>0</v>
      </c>
      <c r="E6" s="1">
        <f t="shared" si="0"/>
        <v>0</v>
      </c>
      <c r="F6" s="1">
        <f t="shared" si="0"/>
        <v>0</v>
      </c>
      <c r="G6" s="1"/>
      <c r="H6" s="1">
        <f t="shared" si="0"/>
        <v>0</v>
      </c>
      <c r="I6" s="1">
        <f t="shared" si="0"/>
        <v>0</v>
      </c>
      <c r="L6">
        <f>HLOOKUP(M6,C1:H3,3,FALSE)</f>
        <v>0</v>
      </c>
      <c r="M6" s="14" t="s">
        <v>9</v>
      </c>
    </row>
    <row r="8" spans="1:21" x14ac:dyDescent="0.45">
      <c r="B8" s="25" t="s">
        <v>31</v>
      </c>
      <c r="L8" t="s">
        <v>20</v>
      </c>
      <c r="M8" s="4" t="s">
        <v>6</v>
      </c>
      <c r="O8" t="s">
        <v>4</v>
      </c>
      <c r="P8" s="1">
        <f>I13*P4</f>
        <v>0</v>
      </c>
      <c r="R8" t="s">
        <v>8</v>
      </c>
    </row>
    <row r="9" spans="1:21" x14ac:dyDescent="0.45">
      <c r="A9" s="14">
        <v>1</v>
      </c>
      <c r="B9" s="14" t="s">
        <v>19</v>
      </c>
      <c r="C9" s="13"/>
      <c r="D9" s="13"/>
      <c r="E9" s="13"/>
      <c r="F9" s="13"/>
      <c r="G9" s="13"/>
      <c r="H9" s="13"/>
      <c r="I9" s="6">
        <f t="shared" ref="I9:I13" si="1">SUM(C9:H9)</f>
        <v>0</v>
      </c>
      <c r="L9" s="3">
        <f t="shared" ref="L9:L13" si="2">$L$6*M9</f>
        <v>0</v>
      </c>
      <c r="M9" s="2">
        <v>0.25</v>
      </c>
      <c r="P9" s="1">
        <f>I9-($P$8/$P$2)</f>
        <v>0</v>
      </c>
      <c r="R9">
        <v>0</v>
      </c>
    </row>
    <row r="10" spans="1:21" x14ac:dyDescent="0.45">
      <c r="A10" s="14">
        <v>2</v>
      </c>
      <c r="B10" s="14" t="s">
        <v>15</v>
      </c>
      <c r="C10" s="13"/>
      <c r="D10" s="13"/>
      <c r="E10" s="13"/>
      <c r="F10" s="13"/>
      <c r="G10" s="13"/>
      <c r="H10" s="13"/>
      <c r="I10" s="6">
        <f t="shared" si="1"/>
        <v>0</v>
      </c>
      <c r="L10" s="3">
        <f t="shared" si="2"/>
        <v>0</v>
      </c>
      <c r="M10" s="2">
        <v>0.3</v>
      </c>
      <c r="P10" s="1">
        <f>I10-($P$8/$P$2)</f>
        <v>0</v>
      </c>
      <c r="R10">
        <v>0</v>
      </c>
    </row>
    <row r="11" spans="1:21" x14ac:dyDescent="0.45">
      <c r="A11" s="14">
        <v>3</v>
      </c>
      <c r="B11" s="14" t="s">
        <v>14</v>
      </c>
      <c r="C11" s="13"/>
      <c r="D11" s="13"/>
      <c r="E11" s="13"/>
      <c r="F11" s="13"/>
      <c r="G11" s="13"/>
      <c r="H11" s="13"/>
      <c r="I11" s="6">
        <f t="shared" si="1"/>
        <v>0</v>
      </c>
      <c r="L11" s="3">
        <f t="shared" si="2"/>
        <v>0</v>
      </c>
      <c r="M11" s="2">
        <v>0.35</v>
      </c>
      <c r="P11" s="1">
        <f>I11-($P$8/$P$2)</f>
        <v>0</v>
      </c>
      <c r="R11">
        <v>0</v>
      </c>
    </row>
    <row r="12" spans="1:21" x14ac:dyDescent="0.45">
      <c r="A12" s="14">
        <v>4</v>
      </c>
      <c r="B12" s="14" t="s">
        <v>18</v>
      </c>
      <c r="C12" s="13"/>
      <c r="D12" s="13"/>
      <c r="E12" s="13"/>
      <c r="F12" s="13"/>
      <c r="G12" s="13"/>
      <c r="H12" s="13"/>
      <c r="I12" s="6">
        <f t="shared" si="1"/>
        <v>0</v>
      </c>
      <c r="L12" s="3">
        <f t="shared" si="2"/>
        <v>0</v>
      </c>
      <c r="M12" s="2">
        <v>0.1</v>
      </c>
      <c r="P12" s="1">
        <f>I12-($P$8/$P$2)</f>
        <v>0</v>
      </c>
      <c r="R12">
        <v>0</v>
      </c>
    </row>
    <row r="13" spans="1:21" s="5" customFormat="1" x14ac:dyDescent="0.45">
      <c r="B13" s="5" t="s">
        <v>0</v>
      </c>
      <c r="C13" s="6">
        <f>SUM(C9:C12)</f>
        <v>0</v>
      </c>
      <c r="D13" s="6">
        <f>SUM(D9:D12)</f>
        <v>0</v>
      </c>
      <c r="E13" s="6">
        <f>SUM(E9:E12)</f>
        <v>0</v>
      </c>
      <c r="F13" s="6">
        <f>SUM(F9:F12)</f>
        <v>0</v>
      </c>
      <c r="G13" s="6"/>
      <c r="H13" s="6">
        <f>SUM(H9:H12)</f>
        <v>0</v>
      </c>
      <c r="I13" s="6">
        <f t="shared" si="1"/>
        <v>0</v>
      </c>
      <c r="J13" s="6"/>
      <c r="K13" s="6"/>
      <c r="L13" s="7">
        <f t="shared" si="2"/>
        <v>0</v>
      </c>
      <c r="M13" s="8">
        <f>SUM(M9:M12)</f>
        <v>1</v>
      </c>
      <c r="P13" s="6">
        <f>SUM(P8:P12)</f>
        <v>0</v>
      </c>
      <c r="R13" s="5">
        <f>SUM(R9:R12)</f>
        <v>0</v>
      </c>
    </row>
    <row r="14" spans="1:21" x14ac:dyDescent="0.45">
      <c r="B14" t="s">
        <v>1</v>
      </c>
      <c r="I14" s="1">
        <f>I13*P3</f>
        <v>0</v>
      </c>
    </row>
    <row r="15" spans="1:21" x14ac:dyDescent="0.45">
      <c r="B15" s="5" t="s">
        <v>2</v>
      </c>
      <c r="C15" s="5"/>
      <c r="D15" s="5"/>
      <c r="E15" s="5"/>
      <c r="F15" s="5"/>
      <c r="G15" s="5"/>
      <c r="H15" s="5"/>
      <c r="I15" s="6">
        <f>SUM(I13:I14)</f>
        <v>0</v>
      </c>
      <c r="J15" s="6"/>
      <c r="K15" s="6"/>
    </row>
    <row r="18" spans="2:6" x14ac:dyDescent="0.45">
      <c r="B18" s="16" t="s">
        <v>21</v>
      </c>
      <c r="C18" s="16" t="s">
        <v>22</v>
      </c>
      <c r="D18" s="16" t="s">
        <v>23</v>
      </c>
      <c r="E18" s="16" t="s">
        <v>24</v>
      </c>
      <c r="F18" s="16" t="s">
        <v>30</v>
      </c>
    </row>
    <row r="19" spans="2:6" x14ac:dyDescent="0.45">
      <c r="B19" s="14" t="s">
        <v>25</v>
      </c>
      <c r="C19" s="13"/>
      <c r="D19" s="22"/>
      <c r="E19" s="23">
        <f>D19*C19</f>
        <v>0</v>
      </c>
      <c r="F19" s="17"/>
    </row>
    <row r="20" spans="2:6" x14ac:dyDescent="0.45">
      <c r="B20" s="14" t="s">
        <v>26</v>
      </c>
      <c r="C20" s="13"/>
      <c r="D20" s="22"/>
      <c r="E20" s="23">
        <f>D20*C20</f>
        <v>0</v>
      </c>
      <c r="F20" s="17"/>
    </row>
    <row r="21" spans="2:6" x14ac:dyDescent="0.45">
      <c r="B21" s="14" t="s">
        <v>27</v>
      </c>
      <c r="C21" s="13"/>
      <c r="D21" s="22"/>
      <c r="E21" s="23">
        <f t="shared" ref="E21:E23" si="3">D21*C21</f>
        <v>0</v>
      </c>
      <c r="F21" s="17"/>
    </row>
    <row r="22" spans="2:6" x14ac:dyDescent="0.45">
      <c r="B22" s="24" t="s">
        <v>29</v>
      </c>
      <c r="C22" s="13"/>
      <c r="D22" s="22"/>
      <c r="E22" s="23">
        <f t="shared" si="3"/>
        <v>0</v>
      </c>
      <c r="F22" s="17"/>
    </row>
    <row r="23" spans="2:6" x14ac:dyDescent="0.45">
      <c r="B23" s="14" t="s">
        <v>28</v>
      </c>
      <c r="C23" s="13"/>
      <c r="D23" s="22"/>
      <c r="E23" s="23">
        <f t="shared" si="3"/>
        <v>0</v>
      </c>
      <c r="F23" s="17"/>
    </row>
    <row r="24" spans="2:6" x14ac:dyDescent="0.45">
      <c r="B24" s="17"/>
      <c r="C24" s="18"/>
      <c r="D24" s="18"/>
      <c r="E24" s="19">
        <f>SUM(E19:E23)</f>
        <v>0</v>
      </c>
      <c r="F24" s="17"/>
    </row>
    <row r="25" spans="2:6" x14ac:dyDescent="0.45">
      <c r="B25" s="17"/>
      <c r="C25" s="18"/>
      <c r="D25" s="17" t="s">
        <v>1</v>
      </c>
      <c r="E25" s="20">
        <f>E24*P3</f>
        <v>0</v>
      </c>
      <c r="F25" s="17"/>
    </row>
    <row r="26" spans="2:6" x14ac:dyDescent="0.45">
      <c r="B26" s="17"/>
      <c r="C26" s="18"/>
      <c r="D26" s="17" t="s">
        <v>2</v>
      </c>
      <c r="E26" s="21">
        <f>SUM(E24:E25)</f>
        <v>0</v>
      </c>
      <c r="F26" s="17"/>
    </row>
  </sheetData>
  <dataValidations count="1">
    <dataValidation type="list" allowBlank="1" showInputMessage="1" showErrorMessage="1" sqref="M6" xr:uid="{7F4DCD3D-935A-4C74-A4DF-7BD44365227A}">
      <formula1>$C$1:$H$1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Robert</dc:creator>
  <cp:lastModifiedBy>Martin Robert</cp:lastModifiedBy>
  <dcterms:created xsi:type="dcterms:W3CDTF">2021-10-04T09:16:23Z</dcterms:created>
  <dcterms:modified xsi:type="dcterms:W3CDTF">2024-03-16T06:30:28Z</dcterms:modified>
</cp:coreProperties>
</file>