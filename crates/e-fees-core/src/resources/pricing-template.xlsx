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9">
    <font>
      <name val="Montserrat"/>
      <family val="2"/>
      <color theme="1"/>
      <sz val="11"/>
      <scheme val="minor"/>
    </font>
    <font>
      <name val="Montserrat"/>
      <family val="2"/>
      <color theme="1"/>
      <sz val="10"/>
      <scheme val="minor"/>
    </font>
    <font>
      <name val="Montserrat"/>
      <family val="2"/>
      <color theme="1"/>
      <sz val="10"/>
      <scheme val="minor"/>
    </font>
    <font>
      <name val="Montserrat"/>
      <family val="2"/>
      <color theme="1"/>
      <sz val="11"/>
      <scheme val="minor"/>
    </font>
    <font>
      <name val="Montserrat"/>
      <family val="2"/>
      <b val="1"/>
      <color theme="1"/>
      <sz val="11"/>
      <scheme val="minor"/>
    </font>
    <font>
      <name val="Montserrat"/>
      <b val="1"/>
      <color theme="1"/>
      <sz val="10"/>
      <scheme val="minor"/>
    </font>
    <font>
      <name val="Montserrat"/>
      <b val="1"/>
      <color theme="1"/>
      <sz val="11"/>
    </font>
    <font>
      <name val="Montserrat"/>
      <color theme="1"/>
      <sz val="11"/>
    </font>
    <font>
      <name val="Montserrat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4" tint="0.399975585192419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3" fillId="0" borderId="0"/>
    <xf numFmtId="43" fontId="3" fillId="0" borderId="0"/>
    <xf numFmtId="9" fontId="3" fillId="0" borderId="0"/>
    <xf numFmtId="0" fontId="2" fillId="2" borderId="0"/>
    <xf numFmtId="0" fontId="2" fillId="3" borderId="0"/>
  </cellStyleXfs>
  <cellXfs count="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164" fontId="0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164" fontId="4" fillId="0" borderId="0" pivotButton="0" quotePrefix="0" xfId="1"/>
    <xf numFmtId="164" fontId="4" fillId="0" borderId="0" pivotButton="0" quotePrefix="0" xfId="0"/>
    <xf numFmtId="9" fontId="4" fillId="0" borderId="0" pivotButton="0" quotePrefix="0" xfId="2"/>
    <xf numFmtId="9" fontId="0" fillId="0" borderId="0" pivotButton="0" quotePrefix="0" xfId="0"/>
    <xf numFmtId="164" fontId="2" fillId="3" borderId="0" applyAlignment="1" pivotButton="0" quotePrefix="0" xfId="4">
      <alignment horizontal="left"/>
    </xf>
    <xf numFmtId="164" fontId="5" fillId="3" borderId="0" pivotButton="0" quotePrefix="0" xfId="4"/>
    <xf numFmtId="9" fontId="2" fillId="2" borderId="1" pivotButton="0" quotePrefix="0" xfId="3"/>
    <xf numFmtId="164" fontId="2" fillId="2" borderId="1" pivotButton="0" quotePrefix="0" xfId="3"/>
    <xf numFmtId="0" fontId="2" fillId="2" borderId="1" pivotButton="0" quotePrefix="0" xfId="3"/>
    <xf numFmtId="164" fontId="2" fillId="2" borderId="2" pivotButton="0" quotePrefix="0" xfId="3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1"/>
    <xf numFmtId="164" fontId="6" fillId="0" borderId="0" pivotButton="0" quotePrefix="0" xfId="1"/>
    <xf numFmtId="164" fontId="7" fillId="0" borderId="0" pivotButton="0" quotePrefix="0" xfId="0"/>
    <xf numFmtId="164" fontId="6" fillId="0" borderId="0" pivotButton="0" quotePrefix="0" xfId="0"/>
    <xf numFmtId="164" fontId="2" fillId="2" borderId="1" pivotButton="0" quotePrefix="0" xfId="1"/>
    <xf numFmtId="164" fontId="7" fillId="0" borderId="1" pivotButton="0" quotePrefix="0" xfId="1"/>
    <xf numFmtId="0" fontId="1" fillId="2" borderId="1" pivotButton="0" quotePrefix="0" xfId="3"/>
    <xf numFmtId="0" fontId="8" fillId="0" borderId="0" pivotButton="0" quotePrefix="0" xfId="0"/>
  </cellXfs>
  <cellStyles count="5">
    <cellStyle name="Normal" xfId="0" builtinId="0"/>
    <cellStyle name="Comma" xfId="1" builtinId="3"/>
    <cellStyle name="Percent" xfId="2" builtinId="5"/>
    <cellStyle name="20% - Accent1" xfId="3" builtinId="30"/>
    <cellStyle name="60% - Accent1" xfId="4" builtinId="3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emittiv">
  <a:themeElements>
    <a:clrScheme name="emittiv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9900"/>
      </a:accent1>
      <a:accent2>
        <a:srgbClr val="7030A0"/>
      </a:accent2>
      <a:accent3>
        <a:srgbClr val="3A3838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mittiv">
      <a:majorFont>
        <a:latin typeface="Ubuntu"/>
        <a:ea typeface=""/>
        <a:cs typeface=""/>
      </a:majorFont>
      <a:minorFont>
        <a:latin typeface="Montserra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tabSelected="1" zoomScale="110" zoomScaleNormal="110" workbookViewId="0">
      <selection activeCell="I14" sqref="I14"/>
    </sheetView>
  </sheetViews>
  <sheetFormatPr baseColWidth="8" defaultRowHeight="16.5"/>
  <cols>
    <col width="3.3984375" customWidth="1" min="1" max="1"/>
    <col width="20.53125" bestFit="1" customWidth="1" min="2" max="2"/>
    <col width="10.6640625" customWidth="1" min="3" max="8"/>
    <col width="11.265625" customWidth="1" style="1" min="9" max="11"/>
    <col width="10.3984375" customWidth="1" min="12" max="12"/>
    <col width="11.73046875" customWidth="1" min="15" max="15"/>
    <col width="11.265625" customWidth="1" style="1" min="16" max="16"/>
    <col width="11.265625" customWidth="1" min="20" max="20"/>
  </cols>
  <sheetData>
    <row r="1" ht="17" customHeight="1" thickBot="1">
      <c r="B1" s="11" t="inlineStr">
        <is>
          <t>Project Target</t>
        </is>
      </c>
      <c r="C1" s="10" t="inlineStr">
        <is>
          <t>Lighting</t>
        </is>
      </c>
      <c r="D1" s="10" t="inlineStr">
        <is>
          <t>Video</t>
        </is>
      </c>
      <c r="E1" s="10" t="inlineStr">
        <is>
          <t>Audio</t>
        </is>
      </c>
      <c r="F1" s="10" t="inlineStr">
        <is>
          <t>SFX</t>
        </is>
      </c>
      <c r="G1" s="10" t="inlineStr">
        <is>
          <t>Show Control</t>
        </is>
      </c>
      <c r="H1" s="10" t="inlineStr">
        <is>
          <t>Sub</t>
        </is>
      </c>
      <c r="I1" s="10" t="inlineStr">
        <is>
          <t>Total</t>
        </is>
      </c>
    </row>
    <row r="2" ht="17" customHeight="1" thickBot="1">
      <c r="B2" s="15" t="n"/>
      <c r="C2" s="12" t="n">
        <v>0.35</v>
      </c>
      <c r="D2" s="12" t="n">
        <v>0.25</v>
      </c>
      <c r="E2" s="12" t="n">
        <v>0.25</v>
      </c>
      <c r="F2" s="12" t="n">
        <v>0.05</v>
      </c>
      <c r="G2" s="12" t="n">
        <v>0.1</v>
      </c>
      <c r="H2" s="12" t="n">
        <v>0</v>
      </c>
      <c r="I2" s="8">
        <f>SUM(C2:H2)</f>
        <v/>
      </c>
      <c r="O2" t="inlineStr">
        <is>
          <t>Stages</t>
        </is>
      </c>
      <c r="P2" s="1">
        <f>COUNT(A:A)</f>
        <v/>
      </c>
      <c r="Q2" s="1" t="n"/>
      <c r="S2" s="2" t="n"/>
      <c r="T2" s="3" t="n"/>
    </row>
    <row r="3">
      <c r="B3" t="inlineStr">
        <is>
          <t>Target Price</t>
        </is>
      </c>
      <c r="C3" s="1">
        <f>$B$2*C2</f>
        <v/>
      </c>
      <c r="D3" s="1">
        <f>$B$2*D2</f>
        <v/>
      </c>
      <c r="E3" s="1">
        <f>$B$2*E2</f>
        <v/>
      </c>
      <c r="F3" s="1">
        <f>$B$2*F2</f>
        <v/>
      </c>
      <c r="G3" s="1">
        <f>$B$2*G2</f>
        <v/>
      </c>
      <c r="H3" s="1">
        <f>$B$2*H2</f>
        <v/>
      </c>
      <c r="I3" s="6">
        <f>SUM(C3:H3)</f>
        <v/>
      </c>
      <c r="O3" t="inlineStr">
        <is>
          <t>VAT</t>
        </is>
      </c>
      <c r="P3" s="2" t="n">
        <v>0.05</v>
      </c>
      <c r="S3" s="9" t="n"/>
      <c r="T3" s="3" t="n"/>
      <c r="U3" s="3" t="n"/>
    </row>
    <row r="4">
      <c r="C4" s="1" t="n"/>
      <c r="D4" s="1" t="n"/>
      <c r="E4" s="1" t="n"/>
      <c r="F4" s="1" t="n"/>
      <c r="G4" s="1" t="n"/>
      <c r="H4" s="1" t="n"/>
      <c r="O4" t="inlineStr">
        <is>
          <t>Mobilisation</t>
        </is>
      </c>
      <c r="P4" s="12" t="n">
        <v>0.3</v>
      </c>
      <c r="S4" s="9" t="n"/>
      <c r="T4" s="1" t="n"/>
      <c r="U4" s="3" t="n"/>
    </row>
    <row r="5">
      <c r="C5" s="1" t="n"/>
      <c r="D5" s="1" t="n"/>
      <c r="E5" s="1" t="n"/>
      <c r="F5" s="1" t="n"/>
      <c r="G5" s="1" t="n"/>
      <c r="H5" s="1" t="n"/>
      <c r="P5" s="2" t="n"/>
      <c r="S5" s="9" t="n"/>
      <c r="T5" s="3" t="n"/>
      <c r="U5" s="3" t="n"/>
    </row>
    <row r="6">
      <c r="B6" t="inlineStr">
        <is>
          <t>Remaining</t>
        </is>
      </c>
      <c r="C6" s="1">
        <f>C3-C13</f>
        <v/>
      </c>
      <c r="D6" s="1">
        <f>D3-D13</f>
        <v/>
      </c>
      <c r="E6" s="1">
        <f>E3-E13</f>
        <v/>
      </c>
      <c r="F6" s="1">
        <f>F3-F13</f>
        <v/>
      </c>
      <c r="G6" s="1">
        <f>G3-G13</f>
        <v/>
      </c>
      <c r="H6" s="1">
        <f>H3-H13</f>
        <v/>
      </c>
      <c r="I6" s="1">
        <f>I3-I13</f>
        <v/>
      </c>
      <c r="L6">
        <f>HLOOKUP(M6,C1:H3,3,FALSE)</f>
        <v/>
      </c>
      <c r="M6" s="14" t="inlineStr">
        <is>
          <t>Lighting</t>
        </is>
      </c>
    </row>
    <row r="8">
      <c r="B8" s="25" t="inlineStr">
        <is>
          <t>Design Stages</t>
        </is>
      </c>
      <c r="L8" t="inlineStr">
        <is>
          <t>Rec Fee</t>
        </is>
      </c>
      <c r="M8" s="4" t="inlineStr">
        <is>
          <t>%</t>
        </is>
      </c>
      <c r="O8" t="inlineStr">
        <is>
          <t>Mobilisation</t>
        </is>
      </c>
      <c r="P8" s="1">
        <f>I13*P4</f>
        <v/>
      </c>
      <c r="R8" t="inlineStr">
        <is>
          <t>Costs</t>
        </is>
      </c>
    </row>
    <row r="9">
      <c r="A9" s="14" t="n">
        <v>1</v>
      </c>
      <c r="B9" s="14" t="inlineStr">
        <is>
          <t>CD</t>
        </is>
      </c>
      <c r="C9" s="13" t="n"/>
      <c r="D9" s="13" t="n"/>
      <c r="E9" s="13" t="n"/>
      <c r="F9" s="13" t="n"/>
      <c r="G9" s="13" t="n"/>
      <c r="H9" s="13" t="n"/>
      <c r="I9" s="6">
        <f>SUM(C9:H9)</f>
        <v/>
      </c>
      <c r="L9" s="3">
        <f>$L$6*M9</f>
        <v/>
      </c>
      <c r="M9" s="2" t="n">
        <v>0.25</v>
      </c>
      <c r="P9" s="1">
        <f>I9-($P$8/$P$2)</f>
        <v/>
      </c>
      <c r="R9" t="n">
        <v>0</v>
      </c>
    </row>
    <row r="10">
      <c r="A10" s="14" t="n">
        <v>2</v>
      </c>
      <c r="B10" s="14" t="inlineStr">
        <is>
          <t>SD</t>
        </is>
      </c>
      <c r="C10" s="13" t="n"/>
      <c r="D10" s="13" t="n"/>
      <c r="E10" s="13" t="n"/>
      <c r="F10" s="13" t="n"/>
      <c r="G10" s="13" t="n"/>
      <c r="H10" s="13" t="n"/>
      <c r="I10" s="6">
        <f>SUM(C10:H10)</f>
        <v/>
      </c>
      <c r="L10" s="3">
        <f>$L$6*M10</f>
        <v/>
      </c>
      <c r="M10" s="2" t="n">
        <v>0.3</v>
      </c>
      <c r="P10" s="1">
        <f>I10-($P$8/$P$2)</f>
        <v/>
      </c>
      <c r="R10" t="n">
        <v>0</v>
      </c>
    </row>
    <row r="11">
      <c r="A11" s="14" t="n">
        <v>3</v>
      </c>
      <c r="B11" s="14" t="inlineStr">
        <is>
          <t>DD</t>
        </is>
      </c>
      <c r="C11" s="13" t="n"/>
      <c r="D11" s="13" t="n"/>
      <c r="E11" s="13" t="n"/>
      <c r="F11" s="13" t="n"/>
      <c r="G11" s="13" t="n"/>
      <c r="H11" s="13" t="n"/>
      <c r="I11" s="6">
        <f>SUM(C11:H11)</f>
        <v/>
      </c>
      <c r="L11" s="3">
        <f>$L$6*M11</f>
        <v/>
      </c>
      <c r="M11" s="2" t="n">
        <v>0.35</v>
      </c>
      <c r="P11" s="1">
        <f>I11-($P$8/$P$2)</f>
        <v/>
      </c>
      <c r="R11" t="n">
        <v>0</v>
      </c>
    </row>
    <row r="12">
      <c r="A12" s="14" t="n">
        <v>4</v>
      </c>
      <c r="B12" s="14" t="inlineStr">
        <is>
          <t>TD</t>
        </is>
      </c>
      <c r="C12" s="13" t="n"/>
      <c r="D12" s="13" t="n"/>
      <c r="E12" s="13" t="n"/>
      <c r="F12" s="13" t="n"/>
      <c r="G12" s="13" t="n"/>
      <c r="H12" s="13" t="n"/>
      <c r="I12" s="6">
        <f>SUM(C12:H12)</f>
        <v/>
      </c>
      <c r="L12" s="3">
        <f>$L$6*M12</f>
        <v/>
      </c>
      <c r="M12" s="2" t="n">
        <v>0.1</v>
      </c>
      <c r="P12" s="1">
        <f>I12-($P$8/$P$2)</f>
        <v/>
      </c>
      <c r="R12" t="n">
        <v>0</v>
      </c>
    </row>
    <row r="13" customFormat="1" s="5">
      <c r="B13" s="5" t="inlineStr">
        <is>
          <t>Sub</t>
        </is>
      </c>
      <c r="C13" s="6">
        <f>SUM(C9:C12)</f>
        <v/>
      </c>
      <c r="D13" s="6">
        <f>SUM(D9:D12)</f>
        <v/>
      </c>
      <c r="E13" s="6">
        <f>SUM(E9:E12)</f>
        <v/>
      </c>
      <c r="F13" s="6">
        <f>SUM(F9:F12)</f>
        <v/>
      </c>
      <c r="G13" s="6">
        <f>SUM(G9:G12)</f>
        <v/>
      </c>
      <c r="H13" s="6">
        <f>SUM(H9:H12)</f>
        <v/>
      </c>
      <c r="I13" s="6">
        <f>SUM(C13:H13)</f>
        <v/>
      </c>
      <c r="J13" s="6" t="n"/>
      <c r="K13" s="6" t="n"/>
      <c r="L13" s="7">
        <f>$L$6*M13</f>
        <v/>
      </c>
      <c r="M13" s="8">
        <f>SUM(M9:M12)</f>
        <v/>
      </c>
      <c r="P13" s="6">
        <f>SUM(P8:P12)</f>
        <v/>
      </c>
      <c r="R13" s="5">
        <f>SUM(R9:R12)</f>
        <v/>
      </c>
    </row>
    <row r="14">
      <c r="B14" t="inlineStr">
        <is>
          <t>VAT</t>
        </is>
      </c>
      <c r="I14" s="1">
        <f>I13*P3</f>
        <v/>
      </c>
    </row>
    <row r="15">
      <c r="B15" s="5" t="inlineStr">
        <is>
          <t>Grand</t>
        </is>
      </c>
      <c r="C15" s="5" t="n"/>
      <c r="D15" s="5" t="n"/>
      <c r="E15" s="5" t="n"/>
      <c r="F15" s="5" t="n"/>
      <c r="G15" s="5" t="n"/>
      <c r="H15" s="5" t="n"/>
      <c r="I15" s="6">
        <f>SUM(I13:I14)</f>
        <v/>
      </c>
      <c r="J15" s="6" t="n"/>
      <c r="K15" s="6" t="n"/>
    </row>
    <row r="18">
      <c r="B18" s="16" t="inlineStr">
        <is>
          <t>Post Contract</t>
        </is>
      </c>
      <c r="C18" s="16" t="inlineStr">
        <is>
          <t>qty</t>
        </is>
      </c>
      <c r="D18" s="16" t="inlineStr">
        <is>
          <t>price</t>
        </is>
      </c>
      <c r="E18" s="16" t="inlineStr">
        <is>
          <t>est</t>
        </is>
      </c>
      <c r="F18" s="16" t="inlineStr">
        <is>
          <t>Notes</t>
        </is>
      </c>
    </row>
    <row r="19">
      <c r="B19" s="14" t="inlineStr">
        <is>
          <t>Submittal Review</t>
        </is>
      </c>
      <c r="C19" s="13" t="n"/>
      <c r="D19" s="22" t="n"/>
      <c r="E19" s="23">
        <f>D19*C19</f>
        <v/>
      </c>
      <c r="F19" s="17" t="n"/>
    </row>
    <row r="20">
      <c r="B20" s="14" t="inlineStr">
        <is>
          <t>Construction Supervision</t>
        </is>
      </c>
      <c r="C20" s="13" t="n"/>
      <c r="D20" s="22" t="n"/>
      <c r="E20" s="23">
        <f>D20*C20</f>
        <v/>
      </c>
      <c r="F20" s="17" t="n"/>
    </row>
    <row r="21">
      <c r="B21" s="14" t="inlineStr">
        <is>
          <t>Programming</t>
        </is>
      </c>
      <c r="C21" s="13" t="n"/>
      <c r="D21" s="22" t="n"/>
      <c r="E21" s="23">
        <f>D21*C21</f>
        <v/>
      </c>
      <c r="F21" s="17" t="n"/>
    </row>
    <row r="22">
      <c r="B22" s="24" t="inlineStr">
        <is>
          <t>Handover</t>
        </is>
      </c>
      <c r="C22" s="13" t="n"/>
      <c r="D22" s="22" t="n"/>
      <c r="E22" s="23">
        <f>D22*C22</f>
        <v/>
      </c>
      <c r="F22" s="17" t="n"/>
    </row>
    <row r="23">
      <c r="B23" s="14" t="inlineStr">
        <is>
          <t>DLP</t>
        </is>
      </c>
      <c r="C23" s="13" t="n"/>
      <c r="D23" s="22" t="n"/>
      <c r="E23" s="23">
        <f>D23*C23</f>
        <v/>
      </c>
      <c r="F23" s="17" t="n"/>
    </row>
    <row r="24">
      <c r="B24" s="17" t="n"/>
      <c r="C24" s="18" t="n"/>
      <c r="D24" s="18" t="n"/>
      <c r="E24" s="19">
        <f>SUM(E19:E23)</f>
        <v/>
      </c>
      <c r="F24" s="17" t="n"/>
    </row>
    <row r="25">
      <c r="B25" s="17" t="n"/>
      <c r="C25" s="18" t="n"/>
      <c r="D25" s="17" t="inlineStr">
        <is>
          <t>VAT</t>
        </is>
      </c>
      <c r="E25" s="20">
        <f>E24*P3</f>
        <v/>
      </c>
      <c r="F25" s="17" t="n"/>
    </row>
    <row r="26">
      <c r="B26" s="17" t="n"/>
      <c r="C26" s="18" t="n"/>
      <c r="D26" s="17" t="inlineStr">
        <is>
          <t>Grand</t>
        </is>
      </c>
      <c r="E26" s="21">
        <f>SUM(E24:E25)</f>
        <v/>
      </c>
      <c r="F26" s="17" t="n"/>
    </row>
  </sheetData>
  <dataValidations count="1">
    <dataValidation sqref="M6" showDropDown="0" showInputMessage="1" showErrorMessage="1" allowBlank="1" type="list">
      <formula1>$C$1:$H$1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Martin Robert</dc:creator>
  <dcterms:created xmlns:dcterms="http://purl.org/dc/terms/" xmlns:xsi="http://www.w3.org/2001/XMLSchema-instance" xsi:type="dcterms:W3CDTF">2021-10-04T09:16:23Z</dcterms:created>
  <dcterms:modified xmlns:dcterms="http://purl.org/dc/terms/" xmlns:xsi="http://www.w3.org/2001/XMLSchema-instance" xsi:type="dcterms:W3CDTF">2026-02-17T10:51:05Z</dcterms:modified>
  <cp:lastModifiedBy>Martin Robert</cp:lastModifiedBy>
</cp:coreProperties>
</file>